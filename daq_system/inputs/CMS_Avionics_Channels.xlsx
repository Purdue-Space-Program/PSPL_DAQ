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aso\Documents\DAQ\PSPL_DAQ\daq_system\inputs\"/>
    </mc:Choice>
  </mc:AlternateContent>
  <xr:revisionPtr revIDLastSave="0" documentId="13_ncr:1_{9BAD9B2A-7DEC-4FF3-9402-770DAAF6CD7E}" xr6:coauthVersionLast="47" xr6:coauthVersionMax="47" xr10:uidLastSave="{00000000-0000-0000-0000-000000000000}"/>
  <bookViews>
    <workbookView xWindow="2910" yWindow="-16320" windowWidth="38640" windowHeight="15720" tabRatio="500" xr2:uid="{00000000-000D-0000-FFFF-FFFF00000000}"/>
  </bookViews>
  <sheets>
    <sheet name="telem_channels" sheetId="1" r:id="rId1"/>
    <sheet name="command_channels" sheetId="2" r:id="rId2"/>
    <sheet name="calibr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5" i="1" l="1"/>
  <c r="F18" i="1"/>
  <c r="D18" i="1"/>
  <c r="F17" i="1"/>
  <c r="D17" i="1"/>
  <c r="F16" i="1"/>
  <c r="F15" i="1"/>
  <c r="F14" i="1"/>
  <c r="D14" i="1"/>
  <c r="F13" i="1"/>
  <c r="D13" i="1"/>
  <c r="F12" i="1"/>
  <c r="F11" i="1"/>
  <c r="C4" i="1"/>
  <c r="D3" i="1"/>
  <c r="D16" i="1" s="1"/>
  <c r="C3" i="1"/>
  <c r="C16" i="1" s="1"/>
  <c r="C2" i="1"/>
  <c r="C18" i="1" s="1"/>
  <c r="C12" i="1" l="1"/>
  <c r="D12" i="1"/>
  <c r="C13" i="1"/>
  <c r="C11" i="1"/>
  <c r="C14" i="1"/>
  <c r="D11" i="1"/>
  <c r="C15" i="1"/>
  <c r="D15" i="1"/>
  <c r="C17" i="1"/>
</calcChain>
</file>

<file path=xl/sharedStrings.xml><?xml version="1.0" encoding="utf-8"?>
<sst xmlns="http://schemas.openxmlformats.org/spreadsheetml/2006/main" count="106" uniqueCount="57">
  <si>
    <t>Name</t>
  </si>
  <si>
    <t>ID</t>
  </si>
  <si>
    <t>Slope</t>
  </si>
  <si>
    <t>Offset</t>
  </si>
  <si>
    <t>Channel Type</t>
  </si>
  <si>
    <t>Zeroing Offset</t>
  </si>
  <si>
    <t>f64</t>
  </si>
  <si>
    <t>u8</t>
  </si>
  <si>
    <t>FU_UPPER_SETP</t>
  </si>
  <si>
    <t>FU_LOWER_SETP</t>
  </si>
  <si>
    <t>OX_UPPER_SETP</t>
  </si>
  <si>
    <t>OX_LOWER_SETP</t>
  </si>
  <si>
    <t>FU_UPPER_REDLINE</t>
  </si>
  <si>
    <t>FU_LOWER_REDLINE</t>
  </si>
  <si>
    <t>OX_UPPER_REDLINE</t>
  </si>
  <si>
    <t>OX_LOWER_REDLINE</t>
  </si>
  <si>
    <t>FREE_SPACE</t>
  </si>
  <si>
    <t>u64</t>
  </si>
  <si>
    <t>random_ass_adc_channel</t>
  </si>
  <si>
    <t>FU_UPPER_REDLINE_HIT</t>
  </si>
  <si>
    <t>OX_UPPER_REDLINE_HIT</t>
  </si>
  <si>
    <t>Num Args</t>
  </si>
  <si>
    <t>Calibration Reference</t>
  </si>
  <si>
    <t>SET_FU_UPPER_SETP</t>
  </si>
  <si>
    <t>SET_FU_LOWER_SETP</t>
  </si>
  <si>
    <t>SET_OX_UPPER_SETP</t>
  </si>
  <si>
    <t>SET_OX_LOWER_SETP</t>
  </si>
  <si>
    <t>SET_FU_STATE_REGULATE</t>
  </si>
  <si>
    <t>SET_FU_STATE_ISOLATE</t>
  </si>
  <si>
    <t>SET_FU_STATE_OPEN</t>
  </si>
  <si>
    <t>SET_OX_STATE_REGULATE</t>
  </si>
  <si>
    <t>SET_OX_STATE_ISOLATE</t>
  </si>
  <si>
    <t>SET_OX_STATE_OPEN</t>
  </si>
  <si>
    <t>SET_BB_STATE_REGULATE</t>
  </si>
  <si>
    <t>SET_BB_STATE_ISOLATE</t>
  </si>
  <si>
    <t>SET_BB_STATE_OPEN</t>
  </si>
  <si>
    <t>NOOP</t>
  </si>
  <si>
    <t>START</t>
  </si>
  <si>
    <t>ABORT</t>
  </si>
  <si>
    <t>SET_FU_UPPER_REDLINE</t>
  </si>
  <si>
    <t>SET_FU_LOWER_REDLINE</t>
  </si>
  <si>
    <t>SET_OX_UPPER_REDLINE</t>
  </si>
  <si>
    <t>SET_OX_LOWER_REDLINE</t>
  </si>
  <si>
    <t>ADC Voltage</t>
  </si>
  <si>
    <t>voltage</t>
  </si>
  <si>
    <t>adc average</t>
  </si>
  <si>
    <t>slope</t>
  </si>
  <si>
    <t>intercept</t>
  </si>
  <si>
    <t>PT_OX_201</t>
  </si>
  <si>
    <t>PT_FU_201</t>
  </si>
  <si>
    <t>PT_HE_201</t>
  </si>
  <si>
    <t>TC_0</t>
  </si>
  <si>
    <t>TC_1</t>
  </si>
  <si>
    <t>SV_HE_201_state</t>
  </si>
  <si>
    <t>SV_HE_202_state</t>
  </si>
  <si>
    <t>SV_HE_201_position</t>
  </si>
  <si>
    <t>SV_HE_202_position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</si>
</sst>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="160" zoomScaleNormal="160" workbookViewId="0">
      <selection activeCell="M5" sqref="M5"/>
    </sheetView>
  </sheetViews>
  <sheetFormatPr defaultColWidth="12.53125" defaultRowHeight="12.75" x14ac:dyDescent="0.35"/>
  <cols>
    <col min="1" max="1" width="23.73046875" customWidth="1"/>
    <col min="5" max="5" width="13.1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48</v>
      </c>
      <c r="B2">
        <v>0</v>
      </c>
      <c r="C2" s="1">
        <f>100.0093205 * 3</f>
        <v>300.0279615</v>
      </c>
      <c r="D2" s="1">
        <v>0.37345214900000001</v>
      </c>
      <c r="E2" t="s">
        <v>6</v>
      </c>
      <c r="F2">
        <v>-21.458924188016098</v>
      </c>
    </row>
    <row r="3" spans="1:6" x14ac:dyDescent="0.35">
      <c r="A3" t="s">
        <v>49</v>
      </c>
      <c r="B3">
        <v>1</v>
      </c>
      <c r="C3" s="1">
        <f>100.0120177 * 3</f>
        <v>300.0360531</v>
      </c>
      <c r="D3" s="1">
        <f>0.074545204</f>
        <v>7.4545204000000004E-2</v>
      </c>
      <c r="E3" t="s">
        <v>6</v>
      </c>
      <c r="F3">
        <v>-19.257586603711299</v>
      </c>
    </row>
    <row r="4" spans="1:6" x14ac:dyDescent="0.35">
      <c r="A4" t="s">
        <v>50</v>
      </c>
      <c r="B4">
        <v>2</v>
      </c>
      <c r="C4" s="1">
        <f>499.706495*3</f>
        <v>1499.1194850000002</v>
      </c>
      <c r="D4" s="1">
        <v>-3.5106110269999999</v>
      </c>
      <c r="E4" t="s">
        <v>6</v>
      </c>
      <c r="F4">
        <v>-122.028809680694</v>
      </c>
    </row>
    <row r="5" spans="1:6" x14ac:dyDescent="0.35">
      <c r="A5" t="s">
        <v>51</v>
      </c>
      <c r="B5">
        <v>7</v>
      </c>
      <c r="C5" s="1">
        <v>200</v>
      </c>
      <c r="D5">
        <f>-250</f>
        <v>-250</v>
      </c>
      <c r="E5" t="s">
        <v>6</v>
      </c>
      <c r="F5">
        <v>0</v>
      </c>
    </row>
    <row r="6" spans="1:6" x14ac:dyDescent="0.35">
      <c r="A6" t="s">
        <v>52</v>
      </c>
      <c r="B6">
        <v>9</v>
      </c>
      <c r="C6" s="1">
        <v>200</v>
      </c>
      <c r="D6">
        <v>-250</v>
      </c>
      <c r="E6" t="s">
        <v>6</v>
      </c>
      <c r="F6">
        <v>0</v>
      </c>
    </row>
    <row r="7" spans="1:6" x14ac:dyDescent="0.35">
      <c r="A7" t="s">
        <v>53</v>
      </c>
      <c r="B7">
        <v>11</v>
      </c>
      <c r="E7" t="s">
        <v>7</v>
      </c>
      <c r="F7">
        <v>0</v>
      </c>
    </row>
    <row r="8" spans="1:6" x14ac:dyDescent="0.35">
      <c r="A8" t="s">
        <v>54</v>
      </c>
      <c r="B8">
        <v>10</v>
      </c>
      <c r="E8" t="s">
        <v>7</v>
      </c>
      <c r="F8">
        <v>0</v>
      </c>
    </row>
    <row r="9" spans="1:6" x14ac:dyDescent="0.35">
      <c r="A9" t="s">
        <v>55</v>
      </c>
      <c r="B9">
        <v>13</v>
      </c>
      <c r="E9" t="s">
        <v>7</v>
      </c>
      <c r="F9">
        <v>0</v>
      </c>
    </row>
    <row r="10" spans="1:6" x14ac:dyDescent="0.35">
      <c r="A10" t="s">
        <v>56</v>
      </c>
      <c r="B10">
        <v>12</v>
      </c>
      <c r="E10" t="s">
        <v>7</v>
      </c>
      <c r="F10">
        <v>0</v>
      </c>
    </row>
    <row r="11" spans="1:6" x14ac:dyDescent="0.35">
      <c r="A11" t="s">
        <v>8</v>
      </c>
      <c r="B11">
        <v>14</v>
      </c>
      <c r="C11">
        <f>$C$3</f>
        <v>300.0360531</v>
      </c>
      <c r="D11">
        <f>$D$3</f>
        <v>7.4545204000000004E-2</v>
      </c>
      <c r="E11" t="s">
        <v>6</v>
      </c>
      <c r="F11">
        <f>$F$3</f>
        <v>-19.257586603711299</v>
      </c>
    </row>
    <row r="12" spans="1:6" x14ac:dyDescent="0.35">
      <c r="A12" t="s">
        <v>9</v>
      </c>
      <c r="B12">
        <v>16</v>
      </c>
      <c r="C12">
        <f>$C$3</f>
        <v>300.0360531</v>
      </c>
      <c r="D12">
        <f>$D$3</f>
        <v>7.4545204000000004E-2</v>
      </c>
      <c r="E12" t="s">
        <v>6</v>
      </c>
      <c r="F12">
        <f>$F$3</f>
        <v>-19.257586603711299</v>
      </c>
    </row>
    <row r="13" spans="1:6" x14ac:dyDescent="0.35">
      <c r="A13" t="s">
        <v>10</v>
      </c>
      <c r="B13">
        <v>15</v>
      </c>
      <c r="C13">
        <f>$C$2</f>
        <v>300.0279615</v>
      </c>
      <c r="D13">
        <f>$D$2</f>
        <v>0.37345214900000001</v>
      </c>
      <c r="E13" t="s">
        <v>6</v>
      </c>
      <c r="F13">
        <f>$F$2</f>
        <v>-21.458924188016098</v>
      </c>
    </row>
    <row r="14" spans="1:6" x14ac:dyDescent="0.35">
      <c r="A14" t="s">
        <v>11</v>
      </c>
      <c r="B14">
        <v>17</v>
      </c>
      <c r="C14">
        <f>$C$2</f>
        <v>300.0279615</v>
      </c>
      <c r="D14">
        <f>$D$2</f>
        <v>0.37345214900000001</v>
      </c>
      <c r="E14" t="s">
        <v>6</v>
      </c>
      <c r="F14">
        <f>$F$2</f>
        <v>-21.458924188016098</v>
      </c>
    </row>
    <row r="15" spans="1:6" x14ac:dyDescent="0.35">
      <c r="A15" t="s">
        <v>12</v>
      </c>
      <c r="B15">
        <v>18</v>
      </c>
      <c r="C15">
        <f>$C$3</f>
        <v>300.0360531</v>
      </c>
      <c r="D15">
        <f>$D$3</f>
        <v>7.4545204000000004E-2</v>
      </c>
      <c r="E15" t="s">
        <v>6</v>
      </c>
      <c r="F15">
        <f>$F$3</f>
        <v>-19.257586603711299</v>
      </c>
    </row>
    <row r="16" spans="1:6" x14ac:dyDescent="0.35">
      <c r="A16" t="s">
        <v>13</v>
      </c>
      <c r="B16">
        <v>20</v>
      </c>
      <c r="C16">
        <f>$C$3</f>
        <v>300.0360531</v>
      </c>
      <c r="D16">
        <f>$D$3</f>
        <v>7.4545204000000004E-2</v>
      </c>
      <c r="E16" t="s">
        <v>6</v>
      </c>
      <c r="F16">
        <f>$F$3</f>
        <v>-19.257586603711299</v>
      </c>
    </row>
    <row r="17" spans="1:6" x14ac:dyDescent="0.35">
      <c r="A17" t="s">
        <v>14</v>
      </c>
      <c r="B17">
        <v>19</v>
      </c>
      <c r="C17">
        <f>$C$2</f>
        <v>300.0279615</v>
      </c>
      <c r="D17">
        <f>$D$2</f>
        <v>0.37345214900000001</v>
      </c>
      <c r="E17" t="s">
        <v>6</v>
      </c>
      <c r="F17">
        <f>$F$2</f>
        <v>-21.458924188016098</v>
      </c>
    </row>
    <row r="18" spans="1:6" x14ac:dyDescent="0.35">
      <c r="A18" t="s">
        <v>15</v>
      </c>
      <c r="B18">
        <v>21</v>
      </c>
      <c r="C18">
        <f>$C$2</f>
        <v>300.0279615</v>
      </c>
      <c r="D18">
        <f>$D$2</f>
        <v>0.37345214900000001</v>
      </c>
      <c r="E18" t="s">
        <v>6</v>
      </c>
      <c r="F18">
        <f>$F$2</f>
        <v>-21.458924188016098</v>
      </c>
    </row>
    <row r="19" spans="1:6" x14ac:dyDescent="0.35">
      <c r="A19" t="s">
        <v>16</v>
      </c>
      <c r="B19">
        <v>24</v>
      </c>
      <c r="C19">
        <v>1</v>
      </c>
      <c r="D19">
        <v>0</v>
      </c>
      <c r="E19" t="s">
        <v>17</v>
      </c>
      <c r="F19">
        <v>0</v>
      </c>
    </row>
    <row r="20" spans="1:6" x14ac:dyDescent="0.35">
      <c r="A20" t="s">
        <v>18</v>
      </c>
      <c r="B20">
        <v>6</v>
      </c>
      <c r="C20">
        <v>1</v>
      </c>
      <c r="D20">
        <v>0</v>
      </c>
      <c r="E20" t="s">
        <v>17</v>
      </c>
      <c r="F20">
        <v>0</v>
      </c>
    </row>
    <row r="21" spans="1:6" x14ac:dyDescent="0.35">
      <c r="A21" t="s">
        <v>19</v>
      </c>
      <c r="B21">
        <v>22</v>
      </c>
      <c r="E21" t="s">
        <v>17</v>
      </c>
      <c r="F21">
        <v>0</v>
      </c>
    </row>
    <row r="22" spans="1:6" x14ac:dyDescent="0.35">
      <c r="A22" t="s">
        <v>20</v>
      </c>
      <c r="B22">
        <v>23</v>
      </c>
      <c r="E22" t="s">
        <v>17</v>
      </c>
      <c r="F22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160" zoomScaleNormal="160" workbookViewId="0">
      <selection activeCell="C13" sqref="C13"/>
    </sheetView>
  </sheetViews>
  <sheetFormatPr defaultColWidth="12.1328125" defaultRowHeight="12.75" x14ac:dyDescent="0.35"/>
  <cols>
    <col min="1" max="1" width="26.9296875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21</v>
      </c>
      <c r="E1" t="s">
        <v>22</v>
      </c>
    </row>
    <row r="2" spans="1:5" x14ac:dyDescent="0.35">
      <c r="A2" t="s">
        <v>23</v>
      </c>
      <c r="B2">
        <v>0</v>
      </c>
      <c r="C2" t="s">
        <v>6</v>
      </c>
      <c r="D2">
        <v>1</v>
      </c>
      <c r="E2" t="s">
        <v>8</v>
      </c>
    </row>
    <row r="3" spans="1:5" x14ac:dyDescent="0.35">
      <c r="A3" t="s">
        <v>24</v>
      </c>
      <c r="B3">
        <v>1</v>
      </c>
      <c r="C3" t="s">
        <v>6</v>
      </c>
      <c r="D3">
        <v>1</v>
      </c>
      <c r="E3" t="s">
        <v>9</v>
      </c>
    </row>
    <row r="4" spans="1:5" x14ac:dyDescent="0.35">
      <c r="A4" t="s">
        <v>25</v>
      </c>
      <c r="B4">
        <v>2</v>
      </c>
      <c r="C4" t="s">
        <v>6</v>
      </c>
      <c r="D4">
        <v>1</v>
      </c>
      <c r="E4" t="s">
        <v>10</v>
      </c>
    </row>
    <row r="5" spans="1:5" x14ac:dyDescent="0.35">
      <c r="A5" t="s">
        <v>26</v>
      </c>
      <c r="B5">
        <v>3</v>
      </c>
      <c r="C5" t="s">
        <v>6</v>
      </c>
      <c r="D5">
        <v>1</v>
      </c>
      <c r="E5" t="s">
        <v>11</v>
      </c>
    </row>
    <row r="6" spans="1:5" x14ac:dyDescent="0.35">
      <c r="A6" t="s">
        <v>27</v>
      </c>
      <c r="B6">
        <v>4</v>
      </c>
      <c r="C6" t="s">
        <v>7</v>
      </c>
      <c r="D6">
        <v>0</v>
      </c>
    </row>
    <row r="7" spans="1:5" x14ac:dyDescent="0.35">
      <c r="A7" t="s">
        <v>28</v>
      </c>
      <c r="B7">
        <v>5</v>
      </c>
      <c r="C7" t="s">
        <v>7</v>
      </c>
      <c r="D7">
        <v>0</v>
      </c>
    </row>
    <row r="8" spans="1:5" x14ac:dyDescent="0.35">
      <c r="A8" t="s">
        <v>29</v>
      </c>
      <c r="B8">
        <v>6</v>
      </c>
      <c r="C8" t="s">
        <v>7</v>
      </c>
      <c r="D8">
        <v>0</v>
      </c>
    </row>
    <row r="9" spans="1:5" x14ac:dyDescent="0.35">
      <c r="A9" t="s">
        <v>30</v>
      </c>
      <c r="B9">
        <v>7</v>
      </c>
      <c r="C9" t="s">
        <v>7</v>
      </c>
      <c r="D9">
        <v>0</v>
      </c>
    </row>
    <row r="10" spans="1:5" x14ac:dyDescent="0.35">
      <c r="A10" t="s">
        <v>31</v>
      </c>
      <c r="B10">
        <v>8</v>
      </c>
      <c r="C10" t="s">
        <v>7</v>
      </c>
      <c r="D10">
        <v>0</v>
      </c>
    </row>
    <row r="11" spans="1:5" x14ac:dyDescent="0.35">
      <c r="A11" t="s">
        <v>32</v>
      </c>
      <c r="B11">
        <v>9</v>
      </c>
      <c r="C11" t="s">
        <v>7</v>
      </c>
      <c r="D11">
        <v>0</v>
      </c>
    </row>
    <row r="12" spans="1:5" x14ac:dyDescent="0.35">
      <c r="A12" t="s">
        <v>33</v>
      </c>
      <c r="B12">
        <v>10</v>
      </c>
      <c r="C12" t="s">
        <v>7</v>
      </c>
      <c r="D12">
        <v>0</v>
      </c>
    </row>
    <row r="13" spans="1:5" x14ac:dyDescent="0.35">
      <c r="A13" t="s">
        <v>34</v>
      </c>
      <c r="B13">
        <v>11</v>
      </c>
      <c r="C13" t="s">
        <v>7</v>
      </c>
      <c r="D13">
        <v>0</v>
      </c>
    </row>
    <row r="14" spans="1:5" x14ac:dyDescent="0.35">
      <c r="A14" t="s">
        <v>35</v>
      </c>
      <c r="B14">
        <v>12</v>
      </c>
      <c r="C14" t="s">
        <v>7</v>
      </c>
      <c r="D14">
        <v>0</v>
      </c>
    </row>
    <row r="15" spans="1:5" x14ac:dyDescent="0.35">
      <c r="A15" t="s">
        <v>36</v>
      </c>
      <c r="B15">
        <v>13</v>
      </c>
      <c r="C15" t="s">
        <v>7</v>
      </c>
      <c r="D15">
        <v>0</v>
      </c>
    </row>
    <row r="16" spans="1:5" x14ac:dyDescent="0.35">
      <c r="A16" t="s">
        <v>37</v>
      </c>
      <c r="B16">
        <v>14</v>
      </c>
      <c r="C16" t="s">
        <v>7</v>
      </c>
      <c r="D16">
        <v>0</v>
      </c>
    </row>
    <row r="17" spans="1:5" x14ac:dyDescent="0.35">
      <c r="A17" t="s">
        <v>38</v>
      </c>
      <c r="B17">
        <v>15</v>
      </c>
      <c r="C17" t="s">
        <v>7</v>
      </c>
      <c r="D17">
        <v>0</v>
      </c>
    </row>
    <row r="18" spans="1:5" x14ac:dyDescent="0.35">
      <c r="A18" t="s">
        <v>39</v>
      </c>
      <c r="B18">
        <v>16</v>
      </c>
      <c r="C18" t="s">
        <v>6</v>
      </c>
      <c r="D18">
        <v>1</v>
      </c>
      <c r="E18" t="s">
        <v>12</v>
      </c>
    </row>
    <row r="19" spans="1:5" x14ac:dyDescent="0.35">
      <c r="A19" t="s">
        <v>40</v>
      </c>
      <c r="B19">
        <v>17</v>
      </c>
      <c r="C19" t="s">
        <v>6</v>
      </c>
      <c r="D19">
        <v>1</v>
      </c>
      <c r="E19" t="s">
        <v>13</v>
      </c>
    </row>
    <row r="20" spans="1:5" x14ac:dyDescent="0.35">
      <c r="A20" t="s">
        <v>41</v>
      </c>
      <c r="B20">
        <v>18</v>
      </c>
      <c r="C20" t="s">
        <v>6</v>
      </c>
      <c r="D20">
        <v>1</v>
      </c>
      <c r="E20" t="s">
        <v>14</v>
      </c>
    </row>
    <row r="21" spans="1:5" x14ac:dyDescent="0.35">
      <c r="A21" t="s">
        <v>42</v>
      </c>
      <c r="B21">
        <v>19</v>
      </c>
      <c r="C21" t="s">
        <v>6</v>
      </c>
      <c r="D21">
        <v>1</v>
      </c>
      <c r="E21" t="s">
        <v>15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zoomScale="160" zoomScaleNormal="160" workbookViewId="0">
      <selection activeCell="C22" sqref="C22"/>
    </sheetView>
  </sheetViews>
  <sheetFormatPr defaultColWidth="12.46484375" defaultRowHeight="12.75" x14ac:dyDescent="0.35"/>
  <sheetData>
    <row r="1" spans="1:2" x14ac:dyDescent="0.35">
      <c r="A1" t="s">
        <v>43</v>
      </c>
    </row>
    <row r="2" spans="1:2" x14ac:dyDescent="0.35">
      <c r="A2" t="s">
        <v>44</v>
      </c>
      <c r="B2" t="s">
        <v>45</v>
      </c>
    </row>
    <row r="3" spans="1:2" x14ac:dyDescent="0.35">
      <c r="A3">
        <v>0.10100000000000001</v>
      </c>
      <c r="B3">
        <v>48564203.3003731</v>
      </c>
    </row>
    <row r="4" spans="1:2" x14ac:dyDescent="0.35">
      <c r="A4">
        <v>0.11</v>
      </c>
      <c r="B4">
        <v>52453767.743790902</v>
      </c>
    </row>
    <row r="5" spans="1:2" x14ac:dyDescent="0.35">
      <c r="A5">
        <v>0.12</v>
      </c>
      <c r="B5">
        <v>56676330.819029897</v>
      </c>
    </row>
    <row r="6" spans="1:2" x14ac:dyDescent="0.35">
      <c r="A6">
        <v>0.13100000000000001</v>
      </c>
      <c r="B6">
        <v>61340637.5350734</v>
      </c>
    </row>
    <row r="7" spans="1:2" x14ac:dyDescent="0.35">
      <c r="A7">
        <v>0.14099999999999999</v>
      </c>
      <c r="B7">
        <v>65564288.955223903</v>
      </c>
    </row>
    <row r="8" spans="1:2" x14ac:dyDescent="0.35">
      <c r="A8">
        <v>0.151</v>
      </c>
      <c r="B8">
        <v>69742511.436031297</v>
      </c>
    </row>
    <row r="9" spans="1:2" x14ac:dyDescent="0.35">
      <c r="A9">
        <v>0</v>
      </c>
      <c r="B9">
        <v>5839384.7885985803</v>
      </c>
    </row>
    <row r="10" spans="1:2" x14ac:dyDescent="0.35">
      <c r="A10">
        <v>1</v>
      </c>
      <c r="B10">
        <v>430235385.29062498</v>
      </c>
    </row>
    <row r="11" spans="1:2" x14ac:dyDescent="0.35">
      <c r="A11">
        <v>2</v>
      </c>
      <c r="B11">
        <v>855165502.287709</v>
      </c>
    </row>
    <row r="12" spans="1:2" x14ac:dyDescent="0.35">
      <c r="A12">
        <v>3</v>
      </c>
      <c r="B12">
        <v>1279398982.6617601</v>
      </c>
    </row>
    <row r="13" spans="1:2" x14ac:dyDescent="0.35">
      <c r="A13">
        <v>4</v>
      </c>
      <c r="B13">
        <v>1703360458.8603401</v>
      </c>
    </row>
    <row r="14" spans="1:2" x14ac:dyDescent="0.35">
      <c r="A14">
        <v>5</v>
      </c>
      <c r="B14">
        <v>2125931587.72087</v>
      </c>
    </row>
    <row r="16" spans="1:2" x14ac:dyDescent="0.35">
      <c r="A16" t="s">
        <v>46</v>
      </c>
      <c r="B16" t="s">
        <v>47</v>
      </c>
    </row>
    <row r="17" spans="1:2" x14ac:dyDescent="0.35">
      <c r="A17" s="2">
        <v>2.3571472401700001E-9</v>
      </c>
      <c r="B17">
        <v>-1.3901338240206E-2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telem_channels</vt:lpstr>
      <vt:lpstr>command_channels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Noah Adam Masotta</cp:lastModifiedBy>
  <cp:revision>78</cp:revision>
  <dcterms:created xsi:type="dcterms:W3CDTF">2025-03-11T02:07:08Z</dcterms:created>
  <dcterms:modified xsi:type="dcterms:W3CDTF">2025-12-18T23:59:28Z</dcterms:modified>
  <dc:language>en-US</dc:language>
</cp:coreProperties>
</file>